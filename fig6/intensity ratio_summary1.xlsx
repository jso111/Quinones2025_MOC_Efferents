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ogh\Dropbox\Awake mouse paper\Submission to J Neurosci\Revision\Data for github\fig6\"/>
    </mc:Choice>
  </mc:AlternateContent>
  <xr:revisionPtr revIDLastSave="0" documentId="13_ncr:1_{E41BBBB2-A46F-4BFA-A58B-915F335100CE}" xr6:coauthVersionLast="47" xr6:coauthVersionMax="47" xr10:uidLastSave="{00000000-0000-0000-0000-000000000000}"/>
  <bookViews>
    <workbookView xWindow="38310" yWindow="0" windowWidth="19380" windowHeight="20970" xr2:uid="{39648B4D-998E-4D63-A861-F26DF73A6F8F}"/>
  </bookViews>
  <sheets>
    <sheet name="Summary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5" l="1"/>
  <c r="D42" i="5"/>
  <c r="D32" i="5"/>
  <c r="D22" i="5"/>
  <c r="D12" i="5"/>
  <c r="D2" i="5"/>
</calcChain>
</file>

<file path=xl/sharedStrings.xml><?xml version="1.0" encoding="utf-8"?>
<sst xmlns="http://schemas.openxmlformats.org/spreadsheetml/2006/main" count="209" uniqueCount="27">
  <si>
    <t>WT</t>
  </si>
  <si>
    <t>VGLUT3KO</t>
  </si>
  <si>
    <t>Genotype</t>
  </si>
  <si>
    <t>Condition</t>
  </si>
  <si>
    <t>Value</t>
  </si>
  <si>
    <t>OHCmid</t>
  </si>
  <si>
    <t>DCmid</t>
  </si>
  <si>
    <t>DChigh</t>
  </si>
  <si>
    <t>OHChigh</t>
  </si>
  <si>
    <t>Ttest</t>
  </si>
  <si>
    <t>OHClow</t>
  </si>
  <si>
    <t>DClow</t>
  </si>
  <si>
    <t>t-Test: Two-Sample Assuming Equal Variances</t>
  </si>
  <si>
    <t>Variable 1</t>
  </si>
  <si>
    <t>Variable 2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</si>
  <si>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</si>
  <si>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</si>
  <si>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</si>
  <si>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</si>
  <si>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</si>
  <si>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</si>
  <si>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</si>
  <si>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</si>
  <si>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</si>
  <si>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</si>
  <si>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</si>
  <si>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 xml:space="preserve"> Note: I inverted the sign of the t Stat because we want to compare VGLUT3 against WT, not the other way around.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</si>
</sst>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9"/>
      <scheme val="minor"/>
    </font>
    <font>
      <sz val="10"/>
      <name val="Arial"/>
      <family val="2"/>
    </font>
    <font>
      <i/>
      <sz val="11"/>
      <color theme="1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61F5-05DD-4926-AA6C-69C945869AAF}">
  <dimension ref="A1:J65"/>
  <sheetViews>
    <sheetView tabSelected="1" workbookViewId="0">
      <selection activeCell="M11" sqref="M11"/>
    </sheetView>
  </sheetViews>
  <sheetFormatPr defaultRowHeight="14.5"/>
  <cols>
    <col min="1" max="1" width="11.36328125" style="2" customWidth="1"/>
    <col min="2" max="2" width="18.90625" style="2" customWidth="1"/>
    <col min="3" max="4" width="9.26953125" style="2"/>
    <col min="5" max="5" width="21.6328125" customWidth="1"/>
    <col min="8" max="8" width="14.90625" customWidth="1"/>
  </cols>
  <sheetData>
    <row r="1" spans="1:10">
      <c r="A1" s="2" t="s">
        <v>2</v>
      </c>
      <c r="B1" s="2" t="s">
        <v>3</v>
      </c>
      <c r="C1" s="3" t="s">
        <v>4</v>
      </c>
      <c r="D1" s="3" t="s">
        <v>9</v>
      </c>
    </row>
    <row r="2" spans="1:10">
      <c r="A2" s="2" t="s">
        <v>0</v>
      </c>
      <c r="B2" s="2" t="s">
        <v>5</v>
      </c>
      <c r="C2" s="3">
        <v>1.08</v>
      </c>
      <c r="D2" s="2">
        <f>TTEST(C2:C6,C7:C11,2,2)</f>
        <v>6.2710993350308412E-3</v>
      </c>
      <c r="E2" t="s">
        <v>12</v>
      </c>
      <c r="H2" s="7" t="s">
        <v>26</v>
      </c>
    </row>
    <row r="3" spans="1:10" ht="15" thickBot="1">
      <c r="A3" s="2" t="s">
        <v>0</v>
      </c>
      <c r="B3" s="2" t="s">
        <v>5</v>
      </c>
      <c r="C3" s="3">
        <v>2.63</v>
      </c>
    </row>
    <row r="4" spans="1:10">
      <c r="A4" s="2" t="s">
        <v>0</v>
      </c>
      <c r="B4" s="2" t="s">
        <v>5</v>
      </c>
      <c r="C4" s="3">
        <v>1.63</v>
      </c>
      <c r="E4" s="6"/>
      <c r="F4" s="6" t="s">
        <v>13</v>
      </c>
      <c r="G4" s="6" t="s">
        <v>14</v>
      </c>
    </row>
    <row r="5" spans="1:10">
      <c r="A5" s="2" t="s">
        <v>0</v>
      </c>
      <c r="B5" s="2" t="s">
        <v>5</v>
      </c>
      <c r="C5" s="3">
        <v>2.59</v>
      </c>
      <c r="E5" s="4" t="s">
        <v>15</v>
      </c>
      <c r="F5" s="4">
        <v>2.23</v>
      </c>
      <c r="G5" s="4">
        <v>6.1820000000000004</v>
      </c>
    </row>
    <row r="6" spans="1:10">
      <c r="A6" s="2" t="s">
        <v>0</v>
      </c>
      <c r="B6" s="2" t="s">
        <v>5</v>
      </c>
      <c r="C6" s="3">
        <v>3.22</v>
      </c>
      <c r="E6" s="4" t="s">
        <v>16</v>
      </c>
      <c r="F6" s="4">
        <v>0.73805000000000032</v>
      </c>
      <c r="G6" s="4">
        <v>5.046520000000001</v>
      </c>
    </row>
    <row r="7" spans="1:10">
      <c r="A7" s="3" t="s">
        <v>1</v>
      </c>
      <c r="B7" s="2" t="s">
        <v>5</v>
      </c>
      <c r="C7" s="3">
        <v>4.84</v>
      </c>
      <c r="E7" s="4" t="s">
        <v>17</v>
      </c>
      <c r="F7" s="4">
        <v>5</v>
      </c>
      <c r="G7" s="4">
        <v>5</v>
      </c>
    </row>
    <row r="8" spans="1:10">
      <c r="A8" s="3" t="s">
        <v>1</v>
      </c>
      <c r="B8" s="2" t="s">
        <v>5</v>
      </c>
      <c r="C8" s="3">
        <v>5.86</v>
      </c>
      <c r="E8" s="4" t="s">
        <v>18</v>
      </c>
      <c r="F8" s="4">
        <v>2.8922850000000007</v>
      </c>
      <c r="G8" s="4"/>
    </row>
    <row r="9" spans="1:10">
      <c r="A9" s="3" t="s">
        <v>1</v>
      </c>
      <c r="B9" s="2" t="s">
        <v>5</v>
      </c>
      <c r="C9" s="3">
        <v>9.14</v>
      </c>
      <c r="E9" s="4" t="s">
        <v>19</v>
      </c>
      <c r="F9" s="4">
        <v>0</v>
      </c>
      <c r="G9" s="4"/>
    </row>
    <row r="10" spans="1:10">
      <c r="A10" s="3" t="s">
        <v>1</v>
      </c>
      <c r="B10" s="2" t="s">
        <v>5</v>
      </c>
      <c r="C10" s="3">
        <v>3.45</v>
      </c>
      <c r="E10" s="4" t="s">
        <v>20</v>
      </c>
      <c r="F10" s="4">
        <v>8</v>
      </c>
      <c r="G10" s="4"/>
    </row>
    <row r="11" spans="1:10">
      <c r="A11" s="3" t="s">
        <v>1</v>
      </c>
      <c r="B11" s="2" t="s">
        <v>5</v>
      </c>
      <c r="C11" s="3">
        <v>7.62</v>
      </c>
      <c r="E11" s="4" t="s">
        <v>21</v>
      </c>
      <c r="F11" s="4">
        <v>-3.6742304972746429</v>
      </c>
      <c r="G11" s="4"/>
    </row>
    <row r="12" spans="1:10">
      <c r="A12" s="2" t="s">
        <v>0</v>
      </c>
      <c r="B12" s="2" t="s">
        <v>6</v>
      </c>
      <c r="C12" s="1">
        <v>1.31</v>
      </c>
      <c r="D12" s="2">
        <f>TTEST(C12:C16,C17:C21,2,2)</f>
        <v>4.1181920742035534E-2</v>
      </c>
      <c r="E12" s="4" t="s">
        <v>22</v>
      </c>
      <c r="F12" s="4">
        <v>3.1355496675154206E-3</v>
      </c>
      <c r="G12" s="4"/>
      <c r="H12" t="s">
        <v>12</v>
      </c>
    </row>
    <row r="13" spans="1:10" ht="15" thickBot="1">
      <c r="A13" s="2" t="s">
        <v>0</v>
      </c>
      <c r="B13" s="2" t="s">
        <v>6</v>
      </c>
      <c r="C13" s="1">
        <v>2.09</v>
      </c>
      <c r="E13" s="4" t="s">
        <v>23</v>
      </c>
      <c r="F13" s="4">
        <v>1.8595480375308981</v>
      </c>
      <c r="G13" s="4"/>
    </row>
    <row r="14" spans="1:10">
      <c r="A14" s="2" t="s">
        <v>0</v>
      </c>
      <c r="B14" s="2" t="s">
        <v>6</v>
      </c>
      <c r="C14" s="1">
        <v>1.6</v>
      </c>
      <c r="E14" s="4" t="s">
        <v>24</v>
      </c>
      <c r="F14" s="4">
        <v>6.2710993350308412E-3</v>
      </c>
      <c r="G14" s="4"/>
      <c r="H14" s="6"/>
      <c r="I14" s="6" t="s">
        <v>13</v>
      </c>
      <c r="J14" s="6" t="s">
        <v>14</v>
      </c>
    </row>
    <row r="15" spans="1:10" ht="15" thickBot="1">
      <c r="A15" s="2" t="s">
        <v>0</v>
      </c>
      <c r="B15" s="2" t="s">
        <v>6</v>
      </c>
      <c r="C15" s="1">
        <v>1.6</v>
      </c>
      <c r="E15" s="5" t="s">
        <v>25</v>
      </c>
      <c r="F15" s="5">
        <v>2.3060041352041671</v>
      </c>
      <c r="G15" s="5"/>
      <c r="H15" s="4" t="s">
        <v>15</v>
      </c>
      <c r="I15" s="4">
        <v>1.8780000000000001</v>
      </c>
      <c r="J15" s="4">
        <v>4.395999999999999</v>
      </c>
    </row>
    <row r="16" spans="1:10">
      <c r="A16" s="2" t="s">
        <v>0</v>
      </c>
      <c r="B16" s="2" t="s">
        <v>6</v>
      </c>
      <c r="C16" s="1">
        <v>2.79</v>
      </c>
      <c r="H16" s="4" t="s">
        <v>16</v>
      </c>
      <c r="I16" s="4">
        <v>0.33847000000000005</v>
      </c>
      <c r="J16" s="4">
        <v>5.0288300000000064</v>
      </c>
    </row>
    <row r="17" spans="1:10">
      <c r="A17" s="3" t="s">
        <v>1</v>
      </c>
      <c r="B17" s="2" t="s">
        <v>6</v>
      </c>
      <c r="C17" s="1">
        <v>2.08</v>
      </c>
      <c r="H17" s="4" t="s">
        <v>17</v>
      </c>
      <c r="I17" s="4">
        <v>5</v>
      </c>
      <c r="J17" s="4">
        <v>5</v>
      </c>
    </row>
    <row r="18" spans="1:10">
      <c r="A18" s="3" t="s">
        <v>1</v>
      </c>
      <c r="B18" s="2" t="s">
        <v>6</v>
      </c>
      <c r="C18" s="1">
        <v>3.27</v>
      </c>
      <c r="H18" s="4" t="s">
        <v>18</v>
      </c>
      <c r="I18" s="4">
        <v>2.6836500000000032</v>
      </c>
      <c r="J18" s="4"/>
    </row>
    <row r="19" spans="1:10">
      <c r="A19" s="3" t="s">
        <v>1</v>
      </c>
      <c r="B19" s="2" t="s">
        <v>6</v>
      </c>
      <c r="C19" s="1">
        <v>3.94</v>
      </c>
      <c r="H19" s="4" t="s">
        <v>19</v>
      </c>
      <c r="I19" s="4">
        <v>0</v>
      </c>
      <c r="J19" s="4"/>
    </row>
    <row r="20" spans="1:10">
      <c r="A20" s="3" t="s">
        <v>1</v>
      </c>
      <c r="B20" s="2" t="s">
        <v>6</v>
      </c>
      <c r="C20" s="1">
        <v>4.66</v>
      </c>
      <c r="H20" s="4" t="s">
        <v>20</v>
      </c>
      <c r="I20" s="4">
        <v>8</v>
      </c>
      <c r="J20" s="4"/>
    </row>
    <row r="21" spans="1:10">
      <c r="A21" s="3" t="s">
        <v>1</v>
      </c>
      <c r="B21" s="2" t="s">
        <v>6</v>
      </c>
      <c r="C21" s="1">
        <v>8.0299999999999994</v>
      </c>
      <c r="H21" s="4" t="s">
        <v>21</v>
      </c>
      <c r="I21" s="4">
        <v>-2.4303162610116429</v>
      </c>
      <c r="J21" s="4"/>
    </row>
    <row r="22" spans="1:10">
      <c r="A22" s="2" t="s">
        <v>0</v>
      </c>
      <c r="B22" s="2" t="s">
        <v>8</v>
      </c>
      <c r="C22" s="1">
        <v>1.43</v>
      </c>
      <c r="D22" s="2">
        <f>TTEST(C22:C26,C27:C31,2,2)</f>
        <v>1.5312879612015828E-2</v>
      </c>
      <c r="E22" t="s">
        <v>12</v>
      </c>
      <c r="H22" s="4" t="s">
        <v>22</v>
      </c>
      <c r="I22" s="4">
        <v>2.0590960371017836E-2</v>
      </c>
      <c r="J22" s="4"/>
    </row>
    <row r="23" spans="1:10" ht="15" thickBot="1">
      <c r="A23" s="2" t="s">
        <v>0</v>
      </c>
      <c r="B23" s="2" t="s">
        <v>8</v>
      </c>
      <c r="C23" s="1">
        <v>2.94</v>
      </c>
      <c r="H23" s="4" t="s">
        <v>23</v>
      </c>
      <c r="I23" s="4">
        <v>1.8595480375308981</v>
      </c>
      <c r="J23" s="4"/>
    </row>
    <row r="24" spans="1:10">
      <c r="A24" s="2" t="s">
        <v>0</v>
      </c>
      <c r="B24" s="2" t="s">
        <v>8</v>
      </c>
      <c r="C24" s="1">
        <v>1.45</v>
      </c>
      <c r="E24" s="6"/>
      <c r="F24" s="6" t="s">
        <v>13</v>
      </c>
      <c r="G24" s="6" t="s">
        <v>14</v>
      </c>
      <c r="H24" s="4" t="s">
        <v>24</v>
      </c>
      <c r="I24" s="4">
        <v>4.1181920742035673E-2</v>
      </c>
      <c r="J24" s="4"/>
    </row>
    <row r="25" spans="1:10" ht="15" thickBot="1">
      <c r="A25" s="2" t="s">
        <v>0</v>
      </c>
      <c r="B25" s="2" t="s">
        <v>8</v>
      </c>
      <c r="C25" s="1">
        <v>2.23</v>
      </c>
      <c r="E25" s="4" t="s">
        <v>15</v>
      </c>
      <c r="F25" s="4">
        <v>2.1139999999999999</v>
      </c>
      <c r="G25" s="4">
        <v>3.7759999999999998</v>
      </c>
      <c r="H25" s="5" t="s">
        <v>25</v>
      </c>
      <c r="I25" s="5">
        <v>2.3060041352041671</v>
      </c>
      <c r="J25" s="5"/>
    </row>
    <row r="26" spans="1:10">
      <c r="A26" s="2" t="s">
        <v>0</v>
      </c>
      <c r="B26" s="2" t="s">
        <v>8</v>
      </c>
      <c r="C26" s="1">
        <v>2.52</v>
      </c>
      <c r="E26" s="4" t="s">
        <v>16</v>
      </c>
      <c r="F26" s="4">
        <v>0.44233000000000011</v>
      </c>
      <c r="G26" s="4">
        <v>1.0216300000000018</v>
      </c>
    </row>
    <row r="27" spans="1:10">
      <c r="A27" s="3" t="s">
        <v>1</v>
      </c>
      <c r="B27" s="2" t="s">
        <v>8</v>
      </c>
      <c r="C27" s="1">
        <v>4.2</v>
      </c>
      <c r="E27" s="4" t="s">
        <v>17</v>
      </c>
      <c r="F27" s="4">
        <v>5</v>
      </c>
      <c r="G27" s="4">
        <v>5</v>
      </c>
    </row>
    <row r="28" spans="1:10">
      <c r="A28" s="3" t="s">
        <v>1</v>
      </c>
      <c r="B28" s="2" t="s">
        <v>8</v>
      </c>
      <c r="C28" s="1">
        <v>3.8</v>
      </c>
      <c r="E28" s="4" t="s">
        <v>18</v>
      </c>
      <c r="F28" s="4">
        <v>0.73198000000000096</v>
      </c>
      <c r="G28" s="4"/>
    </row>
    <row r="29" spans="1:10">
      <c r="A29" s="3" t="s">
        <v>1</v>
      </c>
      <c r="B29" s="2" t="s">
        <v>8</v>
      </c>
      <c r="C29" s="1">
        <v>5.0999999999999996</v>
      </c>
      <c r="E29" s="4" t="s">
        <v>19</v>
      </c>
      <c r="F29" s="4">
        <v>0</v>
      </c>
      <c r="G29" s="4"/>
    </row>
    <row r="30" spans="1:10">
      <c r="A30" s="3" t="s">
        <v>1</v>
      </c>
      <c r="B30" s="2" t="s">
        <v>8</v>
      </c>
      <c r="C30" s="1">
        <v>2.35</v>
      </c>
      <c r="E30" s="4" t="s">
        <v>20</v>
      </c>
      <c r="F30" s="4">
        <v>8</v>
      </c>
      <c r="G30" s="4"/>
    </row>
    <row r="31" spans="1:10">
      <c r="A31" s="3" t="s">
        <v>1</v>
      </c>
      <c r="B31" s="2" t="s">
        <v>8</v>
      </c>
      <c r="C31" s="1">
        <v>3.43</v>
      </c>
      <c r="E31" s="4" t="s">
        <v>21</v>
      </c>
      <c r="F31" s="4">
        <v>-3.0715063415720141</v>
      </c>
      <c r="G31" s="4"/>
    </row>
    <row r="32" spans="1:10">
      <c r="A32" s="2" t="s">
        <v>0</v>
      </c>
      <c r="B32" s="2" t="s">
        <v>7</v>
      </c>
      <c r="C32" s="1">
        <v>1.4</v>
      </c>
      <c r="D32" s="2">
        <f>TTEST(C32:C36,C37:C41,2,2)</f>
        <v>9.1183952140876323E-2</v>
      </c>
      <c r="E32" s="4" t="s">
        <v>22</v>
      </c>
      <c r="F32" s="4">
        <v>7.6564398060079376E-3</v>
      </c>
      <c r="G32" s="4"/>
      <c r="H32" t="s">
        <v>12</v>
      </c>
    </row>
    <row r="33" spans="1:10" ht="15" thickBot="1">
      <c r="A33" s="2" t="s">
        <v>0</v>
      </c>
      <c r="B33" s="2" t="s">
        <v>7</v>
      </c>
      <c r="C33" s="1">
        <v>3.45</v>
      </c>
      <c r="E33" s="4" t="s">
        <v>23</v>
      </c>
      <c r="F33" s="4">
        <v>1.8595480375308981</v>
      </c>
      <c r="G33" s="4"/>
    </row>
    <row r="34" spans="1:10">
      <c r="A34" s="2" t="s">
        <v>0</v>
      </c>
      <c r="B34" s="2" t="s">
        <v>7</v>
      </c>
      <c r="C34" s="1">
        <v>1.53</v>
      </c>
      <c r="E34" s="4" t="s">
        <v>24</v>
      </c>
      <c r="F34" s="4">
        <v>1.5312879612015875E-2</v>
      </c>
      <c r="G34" s="4"/>
      <c r="H34" s="6"/>
      <c r="I34" s="6" t="s">
        <v>13</v>
      </c>
      <c r="J34" s="6" t="s">
        <v>14</v>
      </c>
    </row>
    <row r="35" spans="1:10" ht="15" thickBot="1">
      <c r="A35" s="2" t="s">
        <v>0</v>
      </c>
      <c r="B35" s="2" t="s">
        <v>7</v>
      </c>
      <c r="C35" s="1">
        <v>1.78</v>
      </c>
      <c r="E35" s="5" t="s">
        <v>25</v>
      </c>
      <c r="F35" s="5">
        <v>2.3060041352041671</v>
      </c>
      <c r="G35" s="5"/>
      <c r="H35" s="4" t="s">
        <v>15</v>
      </c>
      <c r="I35" s="4">
        <v>2.13</v>
      </c>
      <c r="J35" s="4">
        <v>3.0680000000000001</v>
      </c>
    </row>
    <row r="36" spans="1:10">
      <c r="A36" s="2" t="s">
        <v>0</v>
      </c>
      <c r="B36" s="2" t="s">
        <v>7</v>
      </c>
      <c r="C36" s="1">
        <v>2.4900000000000002</v>
      </c>
      <c r="H36" s="4" t="s">
        <v>16</v>
      </c>
      <c r="I36" s="4">
        <v>0.72184999999999899</v>
      </c>
      <c r="J36" s="4">
        <v>0.47212000000000032</v>
      </c>
    </row>
    <row r="37" spans="1:10">
      <c r="A37" s="3" t="s">
        <v>1</v>
      </c>
      <c r="B37" s="2" t="s">
        <v>7</v>
      </c>
      <c r="C37" s="1">
        <v>2.7</v>
      </c>
      <c r="H37" s="4" t="s">
        <v>17</v>
      </c>
      <c r="I37" s="4">
        <v>5</v>
      </c>
      <c r="J37" s="4">
        <v>5</v>
      </c>
    </row>
    <row r="38" spans="1:10">
      <c r="A38" s="3" t="s">
        <v>1</v>
      </c>
      <c r="B38" s="2" t="s">
        <v>7</v>
      </c>
      <c r="C38" s="1">
        <v>2.2999999999999998</v>
      </c>
      <c r="H38" s="4" t="s">
        <v>18</v>
      </c>
      <c r="I38" s="4">
        <v>0.59698499999999965</v>
      </c>
      <c r="J38" s="4"/>
    </row>
    <row r="39" spans="1:10">
      <c r="A39" s="3" t="s">
        <v>1</v>
      </c>
      <c r="B39" s="2" t="s">
        <v>7</v>
      </c>
      <c r="C39" s="1">
        <v>2.8</v>
      </c>
      <c r="H39" s="4" t="s">
        <v>19</v>
      </c>
      <c r="I39" s="4">
        <v>0</v>
      </c>
      <c r="J39" s="4"/>
    </row>
    <row r="40" spans="1:10">
      <c r="A40" s="3" t="s">
        <v>1</v>
      </c>
      <c r="B40" s="2" t="s">
        <v>7</v>
      </c>
      <c r="C40" s="1">
        <v>3.54</v>
      </c>
      <c r="H40" s="4" t="s">
        <v>20</v>
      </c>
      <c r="I40" s="4">
        <v>8</v>
      </c>
      <c r="J40" s="4"/>
    </row>
    <row r="41" spans="1:10">
      <c r="A41" s="3" t="s">
        <v>1</v>
      </c>
      <c r="B41" s="2" t="s">
        <v>7</v>
      </c>
      <c r="C41" s="1">
        <v>4</v>
      </c>
      <c r="H41" s="4" t="s">
        <v>21</v>
      </c>
      <c r="I41" s="4">
        <v>-1.9195133334098751</v>
      </c>
      <c r="J41" s="4"/>
    </row>
    <row r="42" spans="1:10">
      <c r="A42" s="2" t="s">
        <v>0</v>
      </c>
      <c r="B42" s="2" t="s">
        <v>10</v>
      </c>
      <c r="C42" s="1">
        <v>0.67</v>
      </c>
      <c r="D42" s="2">
        <f>TTEST(C42:C46,C47:C51,2,2)</f>
        <v>0.26636482109724491</v>
      </c>
      <c r="E42" t="s">
        <v>12</v>
      </c>
      <c r="H42" s="4" t="s">
        <v>22</v>
      </c>
      <c r="I42" s="4">
        <v>4.5591976070438106E-2</v>
      </c>
      <c r="J42" s="4"/>
    </row>
    <row r="43" spans="1:10" ht="15" thickBot="1">
      <c r="A43" s="2" t="s">
        <v>0</v>
      </c>
      <c r="B43" s="2" t="s">
        <v>10</v>
      </c>
      <c r="C43" s="1">
        <v>0.57999999999999996</v>
      </c>
      <c r="H43" s="4" t="s">
        <v>23</v>
      </c>
      <c r="I43" s="4">
        <v>1.8595480375308981</v>
      </c>
      <c r="J43" s="4"/>
    </row>
    <row r="44" spans="1:10">
      <c r="A44" s="2" t="s">
        <v>0</v>
      </c>
      <c r="B44" s="2" t="s">
        <v>10</v>
      </c>
      <c r="C44" s="1">
        <v>0.25</v>
      </c>
      <c r="E44" s="6"/>
      <c r="F44" s="6" t="s">
        <v>13</v>
      </c>
      <c r="G44" s="6" t="s">
        <v>14</v>
      </c>
      <c r="H44" s="4" t="s">
        <v>24</v>
      </c>
      <c r="I44" s="4">
        <v>9.1183952140876212E-2</v>
      </c>
      <c r="J44" s="4"/>
    </row>
    <row r="45" spans="1:10" ht="15" thickBot="1">
      <c r="A45" s="2" t="s">
        <v>0</v>
      </c>
      <c r="B45" s="2" t="s">
        <v>10</v>
      </c>
      <c r="C45" s="1">
        <v>1.57</v>
      </c>
      <c r="E45" s="4" t="s">
        <v>15</v>
      </c>
      <c r="F45" s="4">
        <v>0.748</v>
      </c>
      <c r="G45" s="4">
        <v>1.4780000000000002</v>
      </c>
      <c r="H45" s="5" t="s">
        <v>25</v>
      </c>
      <c r="I45" s="5">
        <v>2.3060041352041671</v>
      </c>
      <c r="J45" s="5"/>
    </row>
    <row r="46" spans="1:10">
      <c r="A46" s="2" t="s">
        <v>0</v>
      </c>
      <c r="B46" s="2" t="s">
        <v>10</v>
      </c>
      <c r="C46" s="1">
        <v>0.67</v>
      </c>
      <c r="E46" s="4" t="s">
        <v>16</v>
      </c>
      <c r="F46" s="4">
        <v>0.24102000000000001</v>
      </c>
      <c r="G46" s="4">
        <v>1.625319999999999</v>
      </c>
    </row>
    <row r="47" spans="1:10">
      <c r="A47" s="3" t="s">
        <v>1</v>
      </c>
      <c r="B47" s="2" t="s">
        <v>10</v>
      </c>
      <c r="C47" s="1">
        <v>2.82</v>
      </c>
      <c r="E47" s="4" t="s">
        <v>17</v>
      </c>
      <c r="F47" s="4">
        <v>5</v>
      </c>
      <c r="G47" s="4">
        <v>5</v>
      </c>
    </row>
    <row r="48" spans="1:10">
      <c r="A48" s="3" t="s">
        <v>1</v>
      </c>
      <c r="B48" s="2" t="s">
        <v>10</v>
      </c>
      <c r="C48" s="1">
        <v>0.22</v>
      </c>
      <c r="E48" s="4" t="s">
        <v>18</v>
      </c>
      <c r="F48" s="4">
        <v>0.9331699999999995</v>
      </c>
      <c r="G48" s="4"/>
    </row>
    <row r="49" spans="1:10">
      <c r="A49" s="3" t="s">
        <v>1</v>
      </c>
      <c r="B49" s="2" t="s">
        <v>10</v>
      </c>
      <c r="C49" s="1">
        <v>0.68</v>
      </c>
      <c r="E49" s="4" t="s">
        <v>19</v>
      </c>
      <c r="F49" s="4">
        <v>0</v>
      </c>
      <c r="G49" s="4"/>
    </row>
    <row r="50" spans="1:10">
      <c r="A50" s="3" t="s">
        <v>1</v>
      </c>
      <c r="B50" s="2" t="s">
        <v>10</v>
      </c>
      <c r="C50" s="1">
        <v>0.78</v>
      </c>
      <c r="E50" s="4" t="s">
        <v>20</v>
      </c>
      <c r="F50" s="4">
        <v>8</v>
      </c>
      <c r="G50" s="4"/>
    </row>
    <row r="51" spans="1:10">
      <c r="A51" s="3" t="s">
        <v>1</v>
      </c>
      <c r="B51" s="2" t="s">
        <v>10</v>
      </c>
      <c r="C51" s="1">
        <v>2.89</v>
      </c>
      <c r="E51" s="4" t="s">
        <v>21</v>
      </c>
      <c r="F51" s="4">
        <v>-1.1948475027729775</v>
      </c>
      <c r="G51" s="4"/>
    </row>
    <row r="52" spans="1:10">
      <c r="A52" s="2" t="s">
        <v>0</v>
      </c>
      <c r="B52" s="2" t="s">
        <v>11</v>
      </c>
      <c r="C52" s="1">
        <v>0.38</v>
      </c>
      <c r="D52" s="2">
        <f>TTEST(C52:C56,C57:C61,2,2)</f>
        <v>0.54344214602558494</v>
      </c>
      <c r="E52" s="4" t="s">
        <v>22</v>
      </c>
      <c r="F52" s="4">
        <v>0.13318241054862245</v>
      </c>
      <c r="G52" s="4"/>
      <c r="H52" t="s">
        <v>12</v>
      </c>
    </row>
    <row r="53" spans="1:10" ht="15" thickBot="1">
      <c r="A53" s="2" t="s">
        <v>0</v>
      </c>
      <c r="B53" s="2" t="s">
        <v>11</v>
      </c>
      <c r="C53" s="1">
        <v>0.11</v>
      </c>
      <c r="E53" s="4" t="s">
        <v>23</v>
      </c>
      <c r="F53" s="4">
        <v>1.8595480375308981</v>
      </c>
      <c r="G53" s="4"/>
    </row>
    <row r="54" spans="1:10">
      <c r="A54" s="2" t="s">
        <v>0</v>
      </c>
      <c r="B54" s="2" t="s">
        <v>11</v>
      </c>
      <c r="C54" s="1">
        <v>0.27</v>
      </c>
      <c r="E54" s="4" t="s">
        <v>24</v>
      </c>
      <c r="F54" s="4">
        <v>0.26636482109724491</v>
      </c>
      <c r="G54" s="4"/>
      <c r="H54" s="6"/>
      <c r="I54" s="6" t="s">
        <v>13</v>
      </c>
      <c r="J54" s="6" t="s">
        <v>14</v>
      </c>
    </row>
    <row r="55" spans="1:10" ht="15" thickBot="1">
      <c r="A55" s="2" t="s">
        <v>0</v>
      </c>
      <c r="B55" s="2" t="s">
        <v>11</v>
      </c>
      <c r="C55" s="1">
        <v>0.56999999999999995</v>
      </c>
      <c r="E55" s="5" t="s">
        <v>25</v>
      </c>
      <c r="F55" s="5">
        <v>2.3060041352041671</v>
      </c>
      <c r="G55" s="5"/>
      <c r="H55" s="4" t="s">
        <v>15</v>
      </c>
      <c r="I55" s="4">
        <v>0.38200000000000001</v>
      </c>
      <c r="J55" s="4">
        <v>0.58399999999999996</v>
      </c>
    </row>
    <row r="56" spans="1:10">
      <c r="A56" s="2" t="s">
        <v>0</v>
      </c>
      <c r="B56" s="2" t="s">
        <v>11</v>
      </c>
      <c r="C56" s="1">
        <v>0.57999999999999996</v>
      </c>
      <c r="H56" s="4" t="s">
        <v>16</v>
      </c>
      <c r="I56" s="4">
        <v>4.027E-2</v>
      </c>
      <c r="J56" s="4">
        <v>0.46643000000000001</v>
      </c>
    </row>
    <row r="57" spans="1:10">
      <c r="A57" s="3" t="s">
        <v>1</v>
      </c>
      <c r="B57" s="2" t="s">
        <v>11</v>
      </c>
      <c r="C57" s="1">
        <v>1.18</v>
      </c>
      <c r="H57" s="4" t="s">
        <v>17</v>
      </c>
      <c r="I57" s="4">
        <v>5</v>
      </c>
      <c r="J57" s="4">
        <v>5</v>
      </c>
    </row>
    <row r="58" spans="1:10">
      <c r="A58" s="3" t="s">
        <v>1</v>
      </c>
      <c r="B58" s="2" t="s">
        <v>11</v>
      </c>
      <c r="C58" s="1">
        <v>0.02</v>
      </c>
      <c r="H58" s="4" t="s">
        <v>18</v>
      </c>
      <c r="I58" s="4">
        <v>0.25335000000000002</v>
      </c>
      <c r="J58" s="4"/>
    </row>
    <row r="59" spans="1:10">
      <c r="A59" s="3" t="s">
        <v>1</v>
      </c>
      <c r="B59" s="2" t="s">
        <v>11</v>
      </c>
      <c r="C59" s="1">
        <v>0.05</v>
      </c>
      <c r="H59" s="4" t="s">
        <v>19</v>
      </c>
      <c r="I59" s="4">
        <v>0</v>
      </c>
      <c r="J59" s="4"/>
    </row>
    <row r="60" spans="1:10">
      <c r="A60" s="3" t="s">
        <v>1</v>
      </c>
      <c r="B60" s="2" t="s">
        <v>11</v>
      </c>
      <c r="C60" s="1">
        <v>0.21</v>
      </c>
      <c r="H60" s="4" t="s">
        <v>20</v>
      </c>
      <c r="I60" s="4">
        <v>8</v>
      </c>
      <c r="J60" s="4"/>
    </row>
    <row r="61" spans="1:10">
      <c r="A61" s="3" t="s">
        <v>1</v>
      </c>
      <c r="B61" s="2" t="s">
        <v>11</v>
      </c>
      <c r="C61" s="1">
        <v>1.46</v>
      </c>
      <c r="H61" s="4" t="s">
        <v>21</v>
      </c>
      <c r="I61" s="4">
        <v>-0.63454279828685034</v>
      </c>
      <c r="J61" s="4"/>
    </row>
    <row r="62" spans="1:10">
      <c r="H62" s="4" t="s">
        <v>22</v>
      </c>
      <c r="I62" s="4">
        <v>0.27172107301279236</v>
      </c>
      <c r="J62" s="4"/>
    </row>
    <row r="63" spans="1:10">
      <c r="H63" s="4" t="s">
        <v>23</v>
      </c>
      <c r="I63" s="4">
        <v>1.8595480375308981</v>
      </c>
      <c r="J63" s="4"/>
    </row>
    <row r="64" spans="1:10">
      <c r="H64" s="4" t="s">
        <v>24</v>
      </c>
      <c r="I64" s="4">
        <v>0.54344214602558472</v>
      </c>
      <c r="J64" s="4"/>
    </row>
    <row r="65" spans="8:10" ht="15" thickBot="1">
      <c r="H65" s="5" t="s">
        <v>25</v>
      </c>
      <c r="I65" s="5">
        <v>2.3060041352041671</v>
      </c>
      <c r="J6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B.J. Kim</dc:creator>
  <cp:lastModifiedBy>John S. Oghalai</cp:lastModifiedBy>
  <dcterms:created xsi:type="dcterms:W3CDTF">2024-06-27T06:31:13Z</dcterms:created>
  <dcterms:modified xsi:type="dcterms:W3CDTF">2025-02-04T23:49:06Z</dcterms:modified>
</cp:coreProperties>
</file>